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8_{36E4A59E-56E7-4A32-8B6E-64711FE1F12F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Buys" sheetId="2" r:id="rId1"/>
    <sheet name="Sales" sheetId="5" r:id="rId2"/>
    <sheet name="Transactions" sheetId="6" r:id="rId3"/>
    <sheet name="Lot Relief" sheetId="3" r:id="rId4"/>
    <sheet name="Apportion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3" l="1"/>
  <c r="N4" i="3"/>
  <c r="N5" i="3"/>
  <c r="N2" i="3"/>
  <c r="N3" i="4"/>
  <c r="N4" i="4"/>
  <c r="N5" i="4"/>
  <c r="N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tc={00F18B49-7BB3-4344-B484-5EE30CB089D0}</author>
  </authors>
  <commentList>
    <comment ref="A1" authorId="0" shapeId="0" xr:uid="{00F18B49-7BB3-4344-B484-5EE30CB089D0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pebblestream:from("Buys")
pebblestream:cartesian-product("Sales")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tc={97E0A67F-AF06-491F-AFB9-CB31175C6034}</author>
  </authors>
  <commentList>
    <comment ref="A1" authorId="0" shapeId="0" xr:uid="{97E0A67F-AF06-491F-AFB9-CB31175C6034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pebblestream:from(“Transactions”)
pebblestream:relieve(“Buys.id”,”Buys.amount”,”Sales.id”,”Sales.amount”)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tc={B765623C-3723-43F6-BCF1-90502E1F0D7F}</author>
  </authors>
  <commentList>
    <comment ref="A1" authorId="0" shapeId="0" xr:uid="{B765623C-3723-43F6-BCF1-90502E1F0D7F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pebblestream:from(“Transactions”)
pebblestream:apportion(“Buys.id”,”Buys.amount”,”Sales.id”,”Sales.amount”)</t>
      </text>
    </comment>
  </commentList>
</comments>
</file>

<file path=xl/sharedStrings.xml><?xml version="1.0" encoding="utf-8"?>
<sst xmlns="http://schemas.openxmlformats.org/spreadsheetml/2006/main" count="74" uniqueCount="25">
  <si>
    <t>id</t>
  </si>
  <si>
    <t>type</t>
  </si>
  <si>
    <t>date</t>
  </si>
  <si>
    <t>amount</t>
  </si>
  <si>
    <t>B</t>
  </si>
  <si>
    <t>gain/loss</t>
  </si>
  <si>
    <t>S</t>
  </si>
  <si>
    <t>Buys.id</t>
  </si>
  <si>
    <t>Buys.type</t>
  </si>
  <si>
    <t>Buys.date</t>
  </si>
  <si>
    <t>Buys.amount</t>
  </si>
  <si>
    <t>Sales.id</t>
  </si>
  <si>
    <t>Sales.type</t>
  </si>
  <si>
    <t>Sales.date</t>
  </si>
  <si>
    <t>Sales.amount</t>
  </si>
  <si>
    <t>relieve:source-ratio</t>
  </si>
  <si>
    <t>relieve:source-amount</t>
  </si>
  <si>
    <t>relieve:target-ratio</t>
  </si>
  <si>
    <t>relieve:target-amount</t>
  </si>
  <si>
    <t>relieved gain/loss</t>
  </si>
  <si>
    <t>apportion:source-ratio</t>
  </si>
  <si>
    <t>apportion:source-amount</t>
  </si>
  <si>
    <t>apportion:target-ratio</t>
  </si>
  <si>
    <t>apportion:target-amount</t>
  </si>
  <si>
    <t>apportioned gain/loss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</si>
</sst>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ACAFB7"/>
        <bgColor indexed="64"/>
      </patternFill>
    </fill>
    <fill>
      <patternFill patternType="solid">
        <fgColor rgb="FFD1D4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164" fontId="1" fillId="4" borderId="0" xfId="0" applyNumberFormat="1" applyFont="1" applyFill="1"/>
    <xf numFmtId="164" fontId="0" fillId="4" borderId="0" xfId="0" applyNumberFormat="1" applyFill="1"/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  <xf numFmtId="0" fontId="1" fillId="2" borderId="0" xfId="0" applyFont="1" applyFill="1"/>
    <xf numFmtId="164" fontId="1" fillId="0" borderId="0" xfId="0" applyNumberFormat="1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diako George" id="{7DC9B7C2-DD92-455F-BBA2-520BBBFC3E5A}" userId="6a7db21d9884e9b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02T19:22:37.52" personId="{7DC9B7C2-DD92-455F-BBA2-520BBBFC3E5A}" id="{00F18B49-7BB3-4344-B484-5EE30CB089D0}">
    <text>pebblestream:from("Buys")
pebblestream:cartesian-product("Sales")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02T19:22:37.52" personId="{7DC9B7C2-DD92-455F-BBA2-520BBBFC3E5A}" id="{97E0A67F-AF06-491F-AFB9-CB31175C6034}">
    <text>pebblestream:from(“Transactions”)
pebblestream:relieve(“Buys.id”,”Buys.amount”,”Sales.id”,”Sales.amount”)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5-12-02T19:22:37.52" personId="{7DC9B7C2-DD92-455F-BBA2-520BBBFC3E5A}" id="{B765623C-3723-43F6-BCF1-90502E1F0D7F}">
    <text>pebblestream:from(“Transactions”)
pebblestream:apportion(“Buys.id”,”Buys.amount”,”Sales.id”,”Sales.amount”)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E7E8"/>
  </sheetPr>
  <dimension ref="A1:J14"/>
  <sheetViews>
    <sheetView zoomScaleNormal="100" workbookViewId="0">
      <selection activeCell="D2" sqref="D2"/>
    </sheetView>
  </sheetViews>
  <sheetFormatPr defaultColWidth="8.5703125" defaultRowHeight="13.9"/>
  <cols>
    <col min="1" max="1" width="18.140625" style="7" customWidth="1"/>
    <col min="2" max="2" width="20.5703125" style="7" customWidth="1"/>
    <col min="3" max="3" width="20.5703125" style="8" customWidth="1"/>
    <col min="4" max="4" width="23.5703125" style="7" customWidth="1"/>
    <col min="5" max="5" width="24.5703125" style="7" customWidth="1"/>
    <col min="6" max="6" width="18.140625" style="7" customWidth="1"/>
    <col min="7" max="8" width="20.5703125" style="7" customWidth="1"/>
    <col min="9" max="9" width="23.5703125" style="7" customWidth="1"/>
    <col min="10" max="10" width="24.5703125" style="7" customWidth="1"/>
    <col min="11" max="1022" width="8.5703125" style="7"/>
    <col min="1023" max="1024" width="9.140625" style="7" customWidth="1"/>
    <col min="1025" max="16384" width="8.5703125" style="7"/>
  </cols>
  <sheetData>
    <row r="1" spans="1:10">
      <c r="A1" s="10" t="s">
        <v>0</v>
      </c>
      <c r="B1" s="10" t="s">
        <v>1</v>
      </c>
      <c r="C1" s="12" t="s">
        <v>2</v>
      </c>
      <c r="D1" s="10" t="s">
        <v>3</v>
      </c>
      <c r="E1" s="9"/>
      <c r="F1" s="9"/>
      <c r="G1" s="9"/>
      <c r="H1" s="11"/>
      <c r="I1" s="9"/>
      <c r="J1" s="9"/>
    </row>
    <row r="2" spans="1:10">
      <c r="A2" s="1">
        <v>1</v>
      </c>
      <c r="B2" s="1" t="s">
        <v>4</v>
      </c>
      <c r="C2" s="13">
        <v>44927</v>
      </c>
      <c r="D2" s="1">
        <v>1000</v>
      </c>
      <c r="H2" s="8"/>
    </row>
    <row r="3" spans="1:10">
      <c r="A3" s="7">
        <v>2</v>
      </c>
      <c r="B3" s="7" t="s">
        <v>4</v>
      </c>
      <c r="C3" s="8">
        <v>44929</v>
      </c>
      <c r="D3" s="7">
        <v>250</v>
      </c>
      <c r="H3" s="8"/>
    </row>
    <row r="4" spans="1:10">
      <c r="H4" s="8"/>
    </row>
    <row r="5" spans="1:10">
      <c r="H5" s="8"/>
    </row>
    <row r="6" spans="1:10">
      <c r="H6" s="8"/>
    </row>
    <row r="7" spans="1:10">
      <c r="H7" s="8"/>
    </row>
    <row r="8" spans="1:10">
      <c r="H8" s="8"/>
    </row>
    <row r="9" spans="1:10">
      <c r="H9" s="8"/>
    </row>
    <row r="10" spans="1:10">
      <c r="H10" s="8"/>
    </row>
    <row r="11" spans="1:10">
      <c r="H11" s="8"/>
    </row>
    <row r="12" spans="1:10">
      <c r="H12" s="8"/>
    </row>
    <row r="13" spans="1:10">
      <c r="H13" s="8"/>
    </row>
    <row r="14" spans="1:10">
      <c r="H14" s="8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0A4D-4755-4B8F-97EE-234527B79310}">
  <sheetPr>
    <tabColor rgb="FFE5E7E8"/>
  </sheetPr>
  <dimension ref="A1:E3"/>
  <sheetViews>
    <sheetView workbookViewId="0">
      <selection activeCell="D2" sqref="D2"/>
    </sheetView>
  </sheetViews>
  <sheetFormatPr defaultRowHeight="15"/>
  <cols>
    <col min="1" max="2" width="9.140625" style="7"/>
    <col min="3" max="3" width="11.140625" style="7" bestFit="1" customWidth="1"/>
    <col min="4" max="4" width="11.7109375" style="7" bestFit="1" customWidth="1"/>
    <col min="5" max="16384" width="9.140625" style="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>
      <c r="A2" s="1">
        <v>3</v>
      </c>
      <c r="B2" s="1" t="s">
        <v>6</v>
      </c>
      <c r="C2" s="13">
        <v>44930</v>
      </c>
      <c r="D2" s="1">
        <v>200</v>
      </c>
      <c r="E2" s="1">
        <v>-50</v>
      </c>
    </row>
    <row r="3" spans="1:5">
      <c r="A3" s="7">
        <v>4</v>
      </c>
      <c r="B3" s="7" t="s">
        <v>6</v>
      </c>
      <c r="C3" s="8">
        <v>44930</v>
      </c>
      <c r="D3" s="7">
        <v>900</v>
      </c>
      <c r="E3" s="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5BDA-1237-4FEF-AFB8-24DFE77B3A19}">
  <sheetPr>
    <tabColor rgb="FF007EFF"/>
  </sheetPr>
  <dimension ref="A1:I5"/>
  <sheetViews>
    <sheetView workbookViewId="0">
      <selection sqref="A1:I5"/>
    </sheetView>
  </sheetViews>
  <sheetFormatPr defaultRowHeight="15"/>
  <cols>
    <col min="1" max="7" width="9.140625" style="7"/>
    <col min="8" max="8" width="12.7109375" style="7" bestFit="1" customWidth="1"/>
    <col min="9" max="16384" width="9.140625" style="7"/>
  </cols>
  <sheetData>
    <row r="1" spans="1:9">
      <c r="A1" s="1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5</v>
      </c>
    </row>
    <row r="2" spans="1:9">
      <c r="A2" s="4">
        <v>1</v>
      </c>
      <c r="B2" s="4" t="s">
        <v>4</v>
      </c>
      <c r="C2" s="4">
        <v>44927</v>
      </c>
      <c r="D2" s="4">
        <v>1000</v>
      </c>
      <c r="E2" s="4">
        <v>3</v>
      </c>
      <c r="F2" s="4" t="s">
        <v>6</v>
      </c>
      <c r="G2" s="4">
        <v>44930</v>
      </c>
      <c r="H2" s="4">
        <v>200</v>
      </c>
      <c r="I2" s="4">
        <v>-50</v>
      </c>
    </row>
    <row r="3" spans="1:9">
      <c r="A3" s="7">
        <v>1</v>
      </c>
      <c r="B3" s="7" t="s">
        <v>4</v>
      </c>
      <c r="C3" s="7">
        <v>44927</v>
      </c>
      <c r="D3" s="7">
        <v>1000</v>
      </c>
      <c r="E3" s="7">
        <v>4</v>
      </c>
      <c r="F3" s="7" t="s">
        <v>6</v>
      </c>
      <c r="G3" s="7">
        <v>44930</v>
      </c>
      <c r="H3" s="7">
        <v>900</v>
      </c>
      <c r="I3" s="7">
        <v>100</v>
      </c>
    </row>
    <row r="4" spans="1:9">
      <c r="A4" s="7">
        <v>2</v>
      </c>
      <c r="B4" s="7" t="s">
        <v>4</v>
      </c>
      <c r="C4" s="7">
        <v>44929</v>
      </c>
      <c r="D4" s="7">
        <v>250</v>
      </c>
      <c r="E4" s="7">
        <v>3</v>
      </c>
      <c r="F4" s="7" t="s">
        <v>6</v>
      </c>
      <c r="G4" s="7">
        <v>44930</v>
      </c>
      <c r="H4" s="7">
        <v>200</v>
      </c>
      <c r="I4" s="7">
        <v>-50</v>
      </c>
    </row>
    <row r="5" spans="1:9">
      <c r="A5" s="7">
        <v>2</v>
      </c>
      <c r="B5" s="7" t="s">
        <v>4</v>
      </c>
      <c r="C5" s="7">
        <v>44929</v>
      </c>
      <c r="D5" s="7">
        <v>250</v>
      </c>
      <c r="E5" s="7">
        <v>4</v>
      </c>
      <c r="F5" s="7" t="s">
        <v>6</v>
      </c>
      <c r="G5" s="7">
        <v>44930</v>
      </c>
      <c r="H5" s="7">
        <v>900</v>
      </c>
      <c r="I5" s="7">
        <v>100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1C9B"/>
  </sheetPr>
  <dimension ref="A1:N5"/>
  <sheetViews>
    <sheetView tabSelected="1" zoomScale="143" zoomScaleNormal="143" workbookViewId="0"/>
  </sheetViews>
  <sheetFormatPr defaultColWidth="9.140625" defaultRowHeight="13.9"/>
  <cols>
    <col min="1" max="1" width="19.5703125" style="7" customWidth="1"/>
    <col min="2" max="2" width="19.85546875" style="7" customWidth="1"/>
    <col min="3" max="3" width="19.85546875" style="8" customWidth="1"/>
    <col min="4" max="4" width="22.7109375" style="7" customWidth="1"/>
    <col min="5" max="5" width="23.7109375" style="7" customWidth="1"/>
    <col min="6" max="6" width="17.42578125" style="7" customWidth="1"/>
    <col min="7" max="7" width="19.85546875" style="7" customWidth="1"/>
    <col min="8" max="8" width="19.85546875" style="8" customWidth="1"/>
    <col min="9" max="9" width="22.7109375" style="7" customWidth="1"/>
    <col min="10" max="10" width="23.7109375" style="7" customWidth="1"/>
    <col min="11" max="11" width="18.7109375" style="7" customWidth="1"/>
    <col min="12" max="12" width="21.42578125" style="7" customWidth="1"/>
    <col min="13" max="13" width="20.5703125" style="7" bestFit="1" customWidth="1"/>
    <col min="14" max="14" width="21.140625" style="7" customWidth="1"/>
    <col min="15" max="16384" width="9.140625" style="7"/>
  </cols>
  <sheetData>
    <row r="1" spans="1:14">
      <c r="A1" s="2" t="s">
        <v>7</v>
      </c>
      <c r="B1" s="3" t="s">
        <v>8</v>
      </c>
      <c r="C1" s="5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5" t="s">
        <v>14</v>
      </c>
      <c r="I1" s="3" t="s">
        <v>5</v>
      </c>
      <c r="J1" s="3" t="s">
        <v>15</v>
      </c>
      <c r="K1" s="3" t="s">
        <v>16</v>
      </c>
      <c r="L1" s="3" t="s">
        <v>17</v>
      </c>
      <c r="M1" s="3" t="s">
        <v>18</v>
      </c>
      <c r="N1" s="10" t="s">
        <v>19</v>
      </c>
    </row>
    <row r="2" spans="1:14">
      <c r="A2" s="4">
        <v>1</v>
      </c>
      <c r="B2" s="4" t="s">
        <v>4</v>
      </c>
      <c r="C2" s="6">
        <v>44927</v>
      </c>
      <c r="D2" s="4">
        <v>1000</v>
      </c>
      <c r="E2" s="4">
        <v>3</v>
      </c>
      <c r="F2" s="4" t="s">
        <v>6</v>
      </c>
      <c r="G2" s="4">
        <v>44930</v>
      </c>
      <c r="H2" s="6">
        <v>200</v>
      </c>
      <c r="I2" s="4">
        <v>-50</v>
      </c>
      <c r="J2" s="4">
        <v>0.2</v>
      </c>
      <c r="K2" s="4">
        <v>200</v>
      </c>
      <c r="L2" s="4">
        <v>1</v>
      </c>
      <c r="M2" s="4">
        <v>200</v>
      </c>
      <c r="N2" s="1">
        <f>L2*I2</f>
        <v>-50</v>
      </c>
    </row>
    <row r="3" spans="1:14">
      <c r="A3" s="7">
        <v>1</v>
      </c>
      <c r="B3" s="7" t="s">
        <v>4</v>
      </c>
      <c r="C3" s="8">
        <v>44927</v>
      </c>
      <c r="D3" s="7">
        <v>1000</v>
      </c>
      <c r="E3" s="7">
        <v>4</v>
      </c>
      <c r="F3" s="7" t="s">
        <v>6</v>
      </c>
      <c r="G3" s="7">
        <v>44930</v>
      </c>
      <c r="H3" s="8">
        <v>900</v>
      </c>
      <c r="I3" s="7">
        <v>100</v>
      </c>
      <c r="J3" s="7">
        <v>0.8</v>
      </c>
      <c r="K3" s="7">
        <v>800</v>
      </c>
      <c r="L3" s="7">
        <v>0.88888888888888884</v>
      </c>
      <c r="M3" s="7">
        <v>800</v>
      </c>
      <c r="N3" s="7">
        <f t="shared" ref="N3:N5" si="0">L3*I3</f>
        <v>88.888888888888886</v>
      </c>
    </row>
    <row r="4" spans="1:14">
      <c r="A4" s="7">
        <v>2</v>
      </c>
      <c r="B4" s="7" t="s">
        <v>4</v>
      </c>
      <c r="C4" s="8">
        <v>44929</v>
      </c>
      <c r="D4" s="7">
        <v>250</v>
      </c>
      <c r="E4" s="7">
        <v>4</v>
      </c>
      <c r="F4" s="7" t="s">
        <v>6</v>
      </c>
      <c r="G4" s="7">
        <v>44930</v>
      </c>
      <c r="H4" s="8">
        <v>900</v>
      </c>
      <c r="I4" s="7">
        <v>100</v>
      </c>
      <c r="J4" s="7">
        <v>0.4</v>
      </c>
      <c r="K4" s="7">
        <v>100</v>
      </c>
      <c r="L4" s="7">
        <v>0.1111111111111111</v>
      </c>
      <c r="M4" s="7">
        <v>100</v>
      </c>
      <c r="N4" s="7">
        <f t="shared" si="0"/>
        <v>11.111111111111111</v>
      </c>
    </row>
    <row r="5" spans="1:14">
      <c r="A5" s="7">
        <v>2</v>
      </c>
      <c r="B5" s="7" t="s">
        <v>4</v>
      </c>
      <c r="C5" s="8">
        <v>44929</v>
      </c>
      <c r="D5" s="7">
        <v>250</v>
      </c>
      <c r="E5" s="7">
        <v>4</v>
      </c>
      <c r="F5" s="7" t="s">
        <v>6</v>
      </c>
      <c r="G5" s="7">
        <v>44930</v>
      </c>
      <c r="H5" s="8">
        <v>900</v>
      </c>
      <c r="I5" s="7">
        <v>100</v>
      </c>
      <c r="J5" s="7">
        <v>0.6</v>
      </c>
      <c r="K5" s="7">
        <v>150</v>
      </c>
      <c r="N5" s="7">
        <f t="shared" si="0"/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1C9B"/>
  </sheetPr>
  <dimension ref="A1:N5"/>
  <sheetViews>
    <sheetView topLeftCell="I1" zoomScaleNormal="100" workbookViewId="0">
      <selection activeCell="N5" sqref="N5"/>
    </sheetView>
  </sheetViews>
  <sheetFormatPr defaultColWidth="9.140625" defaultRowHeight="12.75"/>
  <cols>
    <col min="1" max="1" width="18.140625" style="7" customWidth="1"/>
    <col min="2" max="3" width="20.5703125" style="7" customWidth="1"/>
    <col min="4" max="4" width="23.5703125" style="7" customWidth="1"/>
    <col min="5" max="5" width="24.5703125" style="7" customWidth="1"/>
    <col min="6" max="6" width="18.140625" style="7" customWidth="1"/>
    <col min="7" max="8" width="20.5703125" style="7" customWidth="1"/>
    <col min="9" max="9" width="23.5703125" style="7" customWidth="1"/>
    <col min="10" max="10" width="24.5703125" style="7" customWidth="1"/>
    <col min="11" max="11" width="19.28515625" style="7" customWidth="1"/>
    <col min="12" max="12" width="22.140625" style="7" customWidth="1"/>
    <col min="13" max="13" width="23.28515625" style="7" bestFit="1" customWidth="1"/>
    <col min="14" max="14" width="21.7109375" style="7" customWidth="1"/>
    <col min="15" max="16384" width="9.140625" style="7"/>
  </cols>
  <sheetData>
    <row r="1" spans="1:14" ht="13.9">
      <c r="A1" s="2" t="s">
        <v>7</v>
      </c>
      <c r="B1" s="3" t="s">
        <v>8</v>
      </c>
      <c r="C1" s="5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5" t="s">
        <v>14</v>
      </c>
      <c r="I1" s="3" t="s">
        <v>5</v>
      </c>
      <c r="J1" s="3" t="s">
        <v>20</v>
      </c>
      <c r="K1" s="3" t="s">
        <v>21</v>
      </c>
      <c r="L1" s="3" t="s">
        <v>22</v>
      </c>
      <c r="M1" s="3" t="s">
        <v>23</v>
      </c>
      <c r="N1" s="10" t="s">
        <v>24</v>
      </c>
    </row>
    <row r="2" spans="1:14">
      <c r="A2" s="4">
        <v>1</v>
      </c>
      <c r="B2" s="4" t="s">
        <v>4</v>
      </c>
      <c r="C2" s="4">
        <v>44927</v>
      </c>
      <c r="D2" s="4">
        <v>1000</v>
      </c>
      <c r="E2" s="4">
        <v>3</v>
      </c>
      <c r="F2" s="4" t="s">
        <v>6</v>
      </c>
      <c r="G2" s="4">
        <v>44930</v>
      </c>
      <c r="H2" s="4">
        <v>200</v>
      </c>
      <c r="I2" s="4">
        <v>-50</v>
      </c>
      <c r="J2" s="4">
        <v>0.2</v>
      </c>
      <c r="K2" s="4">
        <v>200</v>
      </c>
      <c r="L2" s="4">
        <v>1</v>
      </c>
      <c r="M2" s="4">
        <v>200</v>
      </c>
      <c r="N2" s="1">
        <f>L2*I2</f>
        <v>-50</v>
      </c>
    </row>
    <row r="3" spans="1:14">
      <c r="A3" s="7">
        <v>1</v>
      </c>
      <c r="B3" s="7" t="s">
        <v>4</v>
      </c>
      <c r="C3" s="7">
        <v>44927</v>
      </c>
      <c r="D3" s="7">
        <v>1000</v>
      </c>
      <c r="E3" s="7">
        <v>4</v>
      </c>
      <c r="F3" s="7" t="s">
        <v>6</v>
      </c>
      <c r="G3" s="7">
        <v>44930</v>
      </c>
      <c r="H3" s="7">
        <v>900</v>
      </c>
      <c r="I3" s="7">
        <v>100</v>
      </c>
      <c r="J3" s="7">
        <v>0.8</v>
      </c>
      <c r="K3" s="7">
        <v>800</v>
      </c>
      <c r="L3" s="7">
        <v>0.88888888888888884</v>
      </c>
      <c r="M3" s="7">
        <v>800</v>
      </c>
      <c r="N3" s="7">
        <f t="shared" ref="N3:N5" si="0">L3*I3</f>
        <v>88.888888888888886</v>
      </c>
    </row>
    <row r="4" spans="1:14">
      <c r="A4" s="7">
        <v>2</v>
      </c>
      <c r="B4" s="7" t="s">
        <v>4</v>
      </c>
      <c r="C4" s="7">
        <v>44929</v>
      </c>
      <c r="D4" s="7">
        <v>250</v>
      </c>
      <c r="E4" s="7">
        <v>3</v>
      </c>
      <c r="F4" s="7" t="s">
        <v>6</v>
      </c>
      <c r="G4" s="7">
        <v>44930</v>
      </c>
      <c r="H4" s="7">
        <v>200</v>
      </c>
      <c r="I4" s="7">
        <v>-50</v>
      </c>
      <c r="J4" s="7">
        <v>0.8</v>
      </c>
      <c r="K4" s="7">
        <v>200</v>
      </c>
      <c r="L4" s="7">
        <v>1</v>
      </c>
      <c r="M4" s="7">
        <v>200</v>
      </c>
      <c r="N4" s="7">
        <f t="shared" si="0"/>
        <v>-50</v>
      </c>
    </row>
    <row r="5" spans="1:14">
      <c r="A5" s="7">
        <v>2</v>
      </c>
      <c r="B5" s="7" t="s">
        <v>4</v>
      </c>
      <c r="C5" s="7">
        <v>44929</v>
      </c>
      <c r="D5" s="7">
        <v>250</v>
      </c>
      <c r="E5" s="7">
        <v>4</v>
      </c>
      <c r="F5" s="7" t="s">
        <v>6</v>
      </c>
      <c r="G5" s="7">
        <v>44930</v>
      </c>
      <c r="H5" s="7">
        <v>900</v>
      </c>
      <c r="I5" s="7">
        <v>100</v>
      </c>
      <c r="J5" s="7">
        <v>0.2</v>
      </c>
      <c r="K5" s="7">
        <v>50</v>
      </c>
      <c r="L5" s="7">
        <v>5.5555555555555552E-2</v>
      </c>
      <c r="M5" s="7">
        <v>50</v>
      </c>
      <c r="N5" s="7">
        <f t="shared" si="0"/>
        <v>5.5555555555555554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11</cp:revision>
  <dcterms:created xsi:type="dcterms:W3CDTF">2024-01-02T18:42:36Z</dcterms:created>
  <dcterms:modified xsi:type="dcterms:W3CDTF">2025-12-02T19:47:37Z</dcterms:modified>
  <cp:category/>
  <cp:contentStatus/>
</cp:coreProperties>
</file>